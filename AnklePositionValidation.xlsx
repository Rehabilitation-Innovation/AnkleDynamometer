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HRehabTech\Documents\GitHub\AnkleDynamometer\"/>
    </mc:Choice>
  </mc:AlternateContent>
  <xr:revisionPtr revIDLastSave="0" documentId="13_ncr:1_{DCC0E371-E947-4DF2-9A87-B7F40B70801E}" xr6:coauthVersionLast="47" xr6:coauthVersionMax="47" xr10:uidLastSave="{00000000-0000-0000-0000-000000000000}"/>
  <bookViews>
    <workbookView xWindow="28680" yWindow="-120" windowWidth="29040" windowHeight="15720" xr2:uid="{BEB06804-99E4-4814-AACA-9BD3BCB431EF}"/>
  </bookViews>
  <sheets>
    <sheet name="Sheet1" sheetId="1" r:id="rId1"/>
    <sheet name="Angled c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F51" i="1"/>
  <c r="G50" i="1"/>
  <c r="E50" i="1"/>
  <c r="C50" i="1"/>
  <c r="G3" i="1" l="1"/>
  <c r="I12" i="1"/>
  <c r="I13" i="1"/>
  <c r="I11" i="1"/>
  <c r="F12" i="1"/>
  <c r="F21" i="1" s="1"/>
  <c r="F13" i="1"/>
  <c r="H21" i="1" s="1"/>
  <c r="F11" i="1"/>
  <c r="D21" i="1" s="1"/>
  <c r="C13" i="1"/>
  <c r="C12" i="1"/>
  <c r="C15" i="1"/>
  <c r="C16" i="1"/>
  <c r="G19" i="1"/>
  <c r="E19" i="1"/>
  <c r="G48" i="1"/>
  <c r="E48" i="1"/>
  <c r="G38" i="1"/>
  <c r="E38" i="1"/>
  <c r="B33" i="1"/>
  <c r="B30" i="1"/>
  <c r="G6" i="1"/>
  <c r="H6" i="1" s="1"/>
  <c r="F6" i="1"/>
  <c r="D28" i="1"/>
  <c r="D29" i="1" s="1"/>
  <c r="C44" i="1" s="1"/>
  <c r="I15" i="1"/>
  <c r="I16" i="1"/>
  <c r="I14" i="1"/>
  <c r="F15" i="1"/>
  <c r="F16" i="1"/>
  <c r="F14" i="1"/>
  <c r="G51" i="1" l="1"/>
  <c r="C51" i="1"/>
  <c r="D52" i="1"/>
  <c r="E51" i="1"/>
  <c r="E28" i="1"/>
  <c r="E31" i="1" s="1"/>
  <c r="E30" i="1" s="1"/>
  <c r="F41" i="1" s="1"/>
  <c r="H22" i="1"/>
  <c r="D22" i="1"/>
  <c r="F22" i="1"/>
  <c r="D51" i="1"/>
  <c r="H51" i="1"/>
  <c r="F52" i="1"/>
  <c r="E53" i="1" s="1"/>
  <c r="H52" i="1"/>
  <c r="G53" i="1" s="1"/>
  <c r="D34" i="1"/>
  <c r="D35" i="1" s="1"/>
  <c r="G44" i="1" s="1"/>
  <c r="G45" i="1" s="1"/>
  <c r="D31" i="1"/>
  <c r="D32" i="1" s="1"/>
  <c r="D27" i="1"/>
  <c r="C41" i="1" s="1"/>
  <c r="G4" i="2"/>
  <c r="G5" i="2"/>
  <c r="G6" i="2"/>
  <c r="G7" i="2"/>
  <c r="G8" i="2"/>
  <c r="G9" i="2"/>
  <c r="G10" i="2"/>
  <c r="G11" i="2"/>
  <c r="G3" i="2"/>
  <c r="H4" i="2"/>
  <c r="H5" i="2"/>
  <c r="H6" i="2"/>
  <c r="H7" i="2"/>
  <c r="H8" i="2"/>
  <c r="H9" i="2"/>
  <c r="H10" i="2"/>
  <c r="H11" i="2"/>
  <c r="H3" i="2"/>
  <c r="C6" i="2"/>
  <c r="F4" i="2"/>
  <c r="F5" i="2"/>
  <c r="F6" i="2"/>
  <c r="F7" i="2"/>
  <c r="F8" i="2"/>
  <c r="F9" i="2"/>
  <c r="F10" i="2"/>
  <c r="F11" i="2"/>
  <c r="F3" i="2"/>
  <c r="C5" i="2"/>
  <c r="E27" i="1" l="1"/>
  <c r="D41" i="1" s="1"/>
  <c r="D40" i="1" s="1"/>
  <c r="H50" i="1"/>
  <c r="D50" i="1"/>
  <c r="C53" i="1"/>
  <c r="C22" i="1" s="1"/>
  <c r="F50" i="1"/>
  <c r="E29" i="1"/>
  <c r="D44" i="1" s="1"/>
  <c r="D45" i="1" s="1"/>
  <c r="E34" i="1"/>
  <c r="E35" i="1" s="1"/>
  <c r="H44" i="1" s="1"/>
  <c r="E32" i="1"/>
  <c r="F44" i="1" s="1"/>
  <c r="F45" i="1" s="1"/>
  <c r="G22" i="1"/>
  <c r="G21" i="1"/>
  <c r="E22" i="1"/>
  <c r="E21" i="1"/>
  <c r="D33" i="1"/>
  <c r="G41" i="1" s="1"/>
  <c r="G40" i="1" s="1"/>
  <c r="G43" i="1"/>
  <c r="D30" i="1"/>
  <c r="E41" i="1" s="1"/>
  <c r="E44" i="1"/>
  <c r="E43" i="1" s="1"/>
  <c r="D42" i="1"/>
  <c r="F42" i="1"/>
  <c r="F40" i="1"/>
  <c r="E40" i="1" l="1"/>
  <c r="E42" i="1"/>
  <c r="E33" i="1"/>
  <c r="H41" i="1" s="1"/>
  <c r="C21" i="1"/>
  <c r="D43" i="1"/>
  <c r="F43" i="1"/>
  <c r="G42" i="1"/>
  <c r="H45" i="1"/>
  <c r="H43" i="1"/>
  <c r="E45" i="1"/>
  <c r="H40" i="1"/>
  <c r="H42" i="1"/>
</calcChain>
</file>

<file path=xl/sharedStrings.xml><?xml version="1.0" encoding="utf-8"?>
<sst xmlns="http://schemas.openxmlformats.org/spreadsheetml/2006/main" count="77" uniqueCount="43">
  <si>
    <t>Average</t>
  </si>
  <si>
    <t>Adult</t>
  </si>
  <si>
    <t>Maeolus Anterior/Posterior Location</t>
  </si>
  <si>
    <t>L1</t>
  </si>
  <si>
    <t>L2</t>
  </si>
  <si>
    <t>alpha</t>
  </si>
  <si>
    <t>L_AB</t>
  </si>
  <si>
    <t>L3</t>
  </si>
  <si>
    <t>Angle (deg)</t>
  </si>
  <si>
    <t>Angle (rad)</t>
  </si>
  <si>
    <t>x</t>
  </si>
  <si>
    <t>y</t>
  </si>
  <si>
    <t>Lateral</t>
  </si>
  <si>
    <t>Medial</t>
  </si>
  <si>
    <t>Maeolus Distal/Proximal Location</t>
  </si>
  <si>
    <t>Age</t>
  </si>
  <si>
    <t>Foot position</t>
  </si>
  <si>
    <t>4 yrs</t>
  </si>
  <si>
    <t>Upper bound</t>
  </si>
  <si>
    <t>Axis of rotation</t>
  </si>
  <si>
    <t>Lower bound</t>
  </si>
  <si>
    <t>Position</t>
  </si>
  <si>
    <t>Upper</t>
  </si>
  <si>
    <t>Lower</t>
  </si>
  <si>
    <t>BC</t>
  </si>
  <si>
    <t>A</t>
  </si>
  <si>
    <t>B</t>
  </si>
  <si>
    <t>C</t>
  </si>
  <si>
    <t>95% range</t>
  </si>
  <si>
    <t xml:space="preserve">plot distance </t>
  </si>
  <si>
    <t>Max plantar</t>
  </si>
  <si>
    <t>Max dorsi</t>
  </si>
  <si>
    <t>Plotting min and max bounds</t>
  </si>
  <si>
    <t>Axis of Rotation</t>
  </si>
  <si>
    <t>Plotting the foot plate</t>
  </si>
  <si>
    <t>Foot size data</t>
  </si>
  <si>
    <t>ground</t>
  </si>
  <si>
    <t>Plotting ankle position</t>
  </si>
  <si>
    <t>Block [in]</t>
  </si>
  <si>
    <t>Block [mm]</t>
  </si>
  <si>
    <t>h</t>
  </si>
  <si>
    <t>beta [rad]</t>
  </si>
  <si>
    <t>beta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</si>
</sst>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10 Degree Dorsi-flexion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Upper Bound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Sheet1!$G$40:$G$42</c:f>
              <c:numCache>
                <c:formatCode>General</c:formatCode>
                <c:ptCount val="3"/>
                <c:pt idx="0">
                  <c:v>-9.6776379431126145</c:v>
                </c:pt>
                <c:pt idx="1">
                  <c:v>0.32236205688738628</c:v>
                </c:pt>
                <c:pt idx="2">
                  <c:v>10.322362056887386</c:v>
                </c:pt>
              </c:numCache>
            </c:numRef>
          </c:xVal>
          <c:yVal>
            <c:numRef>
              <c:f>Sheet1!$H$40:$H$42</c:f>
              <c:numCache>
                <c:formatCode>General</c:formatCode>
                <c:ptCount val="3"/>
                <c:pt idx="0">
                  <c:v>7.7404814366029617</c:v>
                </c:pt>
                <c:pt idx="1">
                  <c:v>5.9772116295183118</c:v>
                </c:pt>
                <c:pt idx="2">
                  <c:v>4.2139418224336618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0-4DB6-872D-F90C46F2D5EA}"/>
            </c:ext>
          </c:extLst>
        </c:ser>
        <c:ser>
          <c:idx val="1"/>
          <c:order val="1"/>
          <c:tx>
            <c:v>Lower Bound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Sheet1!$G$43:$G$45</c:f>
              <c:numCache>
                <c:formatCode>General</c:formatCode>
                <c:ptCount val="3"/>
                <c:pt idx="0">
                  <c:v>-10.198582476113405</c:v>
                </c:pt>
                <c:pt idx="1">
                  <c:v>-0.19858247611340474</c:v>
                </c:pt>
                <c:pt idx="2">
                  <c:v>9.8014175238865953</c:v>
                </c:pt>
              </c:numCache>
            </c:numRef>
          </c:xVal>
          <c:yVal>
            <c:numRef>
              <c:f>Sheet1!$H$43:$H$45</c:f>
              <c:numCache>
                <c:formatCode>General</c:formatCode>
                <c:ptCount val="3"/>
                <c:pt idx="0">
                  <c:v>4.7860581775663382</c:v>
                </c:pt>
                <c:pt idx="1">
                  <c:v>3.0227883704816882</c:v>
                </c:pt>
                <c:pt idx="2">
                  <c:v>1.2595185633970385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50-4DB6-872D-F90C46F2D5EA}"/>
            </c:ext>
          </c:extLst>
        </c:ser>
        <c:ser>
          <c:idx val="2"/>
          <c:order val="2"/>
          <c:tx>
            <c:v>Axis of Rotation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Sheet1!$D$34</c:f>
              <c:numCache>
                <c:formatCode>General</c:formatCode>
                <c:ptCount val="1"/>
                <c:pt idx="0">
                  <c:v>6.1889790386990759E-2</c:v>
                </c:pt>
              </c:numCache>
            </c:numRef>
          </c:xVal>
          <c:yVal>
            <c:numRef>
              <c:f>Sheet1!$E$34</c:f>
              <c:numCache>
                <c:formatCode>General</c:formatCode>
                <c:ptCount val="1"/>
                <c:pt idx="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50-4DB6-872D-F90C46F2D5EA}"/>
            </c:ext>
          </c:extLst>
        </c:ser>
        <c:ser>
          <c:idx val="3"/>
          <c:order val="3"/>
          <c:tx>
            <c:v>Foot Plate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Sheet1!$G$52:$G$53</c:f>
              <c:numCache>
                <c:formatCode>General</c:formatCode>
                <c:ptCount val="2"/>
                <c:pt idx="0">
                  <c:v>0</c:v>
                </c:pt>
                <c:pt idx="1">
                  <c:v>-5.8087146822298266</c:v>
                </c:pt>
              </c:numCache>
            </c:numRef>
          </c:xVal>
          <c:yVal>
            <c:numRef>
              <c:f>Sheet1!$H$52:$H$53</c:f>
              <c:numCache>
                <c:formatCode>General</c:formatCode>
                <c:ptCount val="2"/>
                <c:pt idx="0">
                  <c:v>32.942857972676478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50-4DB6-872D-F90C46F2D5EA}"/>
            </c:ext>
          </c:extLst>
        </c:ser>
        <c:ser>
          <c:idx val="4"/>
          <c:order val="4"/>
          <c:tx>
            <c:v>4 yrs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Sheet1!$G$22</c:f>
              <c:numCache>
                <c:formatCode>General</c:formatCode>
                <c:ptCount val="1"/>
                <c:pt idx="0">
                  <c:v>0.23110949261836344</c:v>
                </c:pt>
              </c:numCache>
              <c:extLst xmlns:c15="http://schemas.microsoft.com/office/drawing/2012/chart"/>
            </c:numRef>
          </c:xVal>
          <c:yVal>
            <c:numRef>
              <c:f>Sheet1!$H$22</c:f>
              <c:numCache>
                <c:formatCode>General</c:formatCode>
                <c:ptCount val="1"/>
                <c:pt idx="0">
                  <c:v>4.0199999999999996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550-4DB6-872D-F90C46F2D5EA}"/>
            </c:ext>
          </c:extLst>
        </c:ser>
        <c:ser>
          <c:idx val="5"/>
          <c:order val="5"/>
          <c:tx>
            <c:v>Adult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Sheet1!$G$21</c:f>
              <c:numCache>
                <c:formatCode>General</c:formatCode>
                <c:ptCount val="1"/>
                <c:pt idx="0">
                  <c:v>4.4990643083414952</c:v>
                </c:pt>
              </c:numCache>
              <c:extLst xmlns:c15="http://schemas.microsoft.com/office/drawing/2012/chart"/>
            </c:numRef>
          </c:xVal>
          <c:yVal>
            <c:numRef>
              <c:f>Sheet1!$H$21</c:f>
              <c:numCache>
                <c:formatCode>General</c:formatCode>
                <c:ptCount val="1"/>
                <c:pt idx="0">
                  <c:v>3.75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757-46C8-AF05-36C2EA11F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122911"/>
        <c:axId val="1103123391"/>
        <c:extLst/>
      </c:scatterChart>
      <c:valAx>
        <c:axId val="1103122911"/>
        <c:scaling>
          <c:orientation val="minMax"/>
          <c:max val="36"/>
          <c:min val="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x-position [cm]</a:t>
                </a:r>
              </a:p>
            </c:rich>
          </c:tx>
          <c:layout>
            <c:manualLayout>
              <c:xMode val="edge"/>
              <c:yMode val="edge"/>
              <c:x val="0.4483536708951309"/>
              <c:y val="0.9387601908967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23391"/>
        <c:crosses val="autoZero"/>
        <c:crossBetween val="midCat"/>
      </c:valAx>
      <c:valAx>
        <c:axId val="1103123391"/>
        <c:scaling>
          <c:orientation val="minMax"/>
          <c:max val="2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y-position [cm]</a:t>
                </a:r>
              </a:p>
            </c:rich>
          </c:tx>
          <c:layout>
            <c:manualLayout>
              <c:xMode val="edge"/>
              <c:yMode val="edge"/>
              <c:x val="9.4633745052219945E-3"/>
              <c:y val="0.410773723244289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12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30 Degree Plantar</a:t>
            </a:r>
            <a:r>
              <a:rPr lang="en-CA" baseline="0"/>
              <a:t>-flexion</a:t>
            </a:r>
            <a:endParaRPr lang="en-CA"/>
          </a:p>
        </c:rich>
      </c:tx>
      <c:layout>
        <c:manualLayout>
          <c:xMode val="edge"/>
          <c:yMode val="edge"/>
          <c:x val="0.38290918709974475"/>
          <c:y val="2.3087379864774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Upper Bounds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Sheet1!$E$40:$E$42</c:f>
              <c:numCache>
                <c:formatCode>General</c:formatCode>
                <c:ptCount val="3"/>
                <c:pt idx="0">
                  <c:v>7.5801270189221945</c:v>
                </c:pt>
                <c:pt idx="1">
                  <c:v>17.580127018922195</c:v>
                </c:pt>
                <c:pt idx="2">
                  <c:v>27.580127018922195</c:v>
                </c:pt>
              </c:numCache>
            </c:numRef>
          </c:xVal>
          <c:yVal>
            <c:numRef>
              <c:f>Sheet1!$F$40:$F$42</c:f>
              <c:numCache>
                <c:formatCode>General</c:formatCode>
                <c:ptCount val="3"/>
                <c:pt idx="0">
                  <c:v>2.5535413780400695E-2</c:v>
                </c:pt>
                <c:pt idx="1">
                  <c:v>5.799038105676658</c:v>
                </c:pt>
                <c:pt idx="2">
                  <c:v>11.572540797572916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F-4E82-8977-3B5832CAEDBE}"/>
            </c:ext>
          </c:extLst>
        </c:ser>
        <c:ser>
          <c:idx val="1"/>
          <c:order val="1"/>
          <c:tx>
            <c:v>Lower Bounds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Sheet1!$E$43:$E$45</c:f>
              <c:numCache>
                <c:formatCode>General</c:formatCode>
                <c:ptCount val="3"/>
                <c:pt idx="0">
                  <c:v>9.0801270189221945</c:v>
                </c:pt>
                <c:pt idx="1">
                  <c:v>19.080127018922195</c:v>
                </c:pt>
                <c:pt idx="2">
                  <c:v>29.080127018922195</c:v>
                </c:pt>
              </c:numCache>
            </c:numRef>
          </c:xVal>
          <c:yVal>
            <c:numRef>
              <c:f>Sheet1!$F$43:$F$45</c:f>
              <c:numCache>
                <c:formatCode>General</c:formatCode>
                <c:ptCount val="3"/>
                <c:pt idx="0">
                  <c:v>-2.5725407975729153</c:v>
                </c:pt>
                <c:pt idx="1">
                  <c:v>3.200961894323342</c:v>
                </c:pt>
                <c:pt idx="2">
                  <c:v>8.9744645862196002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6F-4E82-8977-3B5832CAEDBE}"/>
            </c:ext>
          </c:extLst>
        </c:ser>
        <c:ser>
          <c:idx val="2"/>
          <c:order val="2"/>
          <c:tx>
            <c:v>Axis of Rotation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Sheet1!$D$31</c:f>
              <c:numCache>
                <c:formatCode>General</c:formatCode>
                <c:ptCount val="1"/>
                <c:pt idx="0">
                  <c:v>18.330127018922195</c:v>
                </c:pt>
              </c:numCache>
            </c:numRef>
          </c:xVal>
          <c:yVal>
            <c:numRef>
              <c:f>Sheet1!$E$31</c:f>
              <c:numCache>
                <c:formatCode>General</c:formatCode>
                <c:ptCount val="1"/>
                <c:pt idx="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6F-4E82-8977-3B5832CAEDBE}"/>
            </c:ext>
          </c:extLst>
        </c:ser>
        <c:ser>
          <c:idx val="3"/>
          <c:order val="3"/>
          <c:tx>
            <c:v>Foot Plate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A26F-4E82-8977-3B5832CAEDBE}"/>
              </c:ext>
            </c:extLst>
          </c:dPt>
          <c:xVal>
            <c:numRef>
              <c:f>Sheet1!$E$52:$E$53</c:f>
              <c:numCache>
                <c:formatCode>General</c:formatCode>
                <c:ptCount val="2"/>
                <c:pt idx="0">
                  <c:v>0</c:v>
                </c:pt>
                <c:pt idx="1">
                  <c:v>15.154700538379251</c:v>
                </c:pt>
              </c:numCache>
            </c:numRef>
          </c:xVal>
          <c:yVal>
            <c:numRef>
              <c:f>Sheet1!$F$52:$F$53</c:f>
              <c:numCache>
                <c:formatCode>General</c:formatCode>
                <c:ptCount val="2"/>
                <c:pt idx="0">
                  <c:v>26.248711305964282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6F-4E82-8977-3B5832CAEDBE}"/>
            </c:ext>
          </c:extLst>
        </c:ser>
        <c:ser>
          <c:idx val="4"/>
          <c:order val="4"/>
          <c:tx>
            <c:v>4 yrs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Sheet1!$E$22</c:f>
              <c:numCache>
                <c:formatCode>General</c:formatCode>
                <c:ptCount val="1"/>
                <c:pt idx="0">
                  <c:v>19.328942984620241</c:v>
                </c:pt>
              </c:numCache>
              <c:extLst xmlns:c15="http://schemas.microsoft.com/office/drawing/2012/chart"/>
            </c:numRef>
          </c:xVal>
          <c:yVal>
            <c:numRef>
              <c:f>Sheet1!$F$22</c:f>
              <c:numCache>
                <c:formatCode>General</c:formatCode>
                <c:ptCount val="1"/>
                <c:pt idx="0">
                  <c:v>4.2699999999999996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26F-4E82-8977-3B5832CAEDBE}"/>
            </c:ext>
          </c:extLst>
        </c:ser>
        <c:ser>
          <c:idx val="5"/>
          <c:order val="5"/>
          <c:tx>
            <c:v>Adult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Sheet1!$E$21</c:f>
              <c:numCache>
                <c:formatCode>General</c:formatCode>
                <c:ptCount val="1"/>
                <c:pt idx="0">
                  <c:v>21.794228634059948</c:v>
                </c:pt>
              </c:numCache>
            </c:numRef>
          </c:xVal>
          <c:yVal>
            <c:numRef>
              <c:f>Sheet1!$F$21</c:f>
              <c:numCache>
                <c:formatCode>General</c:formatCode>
                <c:ptCount val="1"/>
                <c:pt idx="0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1F-4EA4-AB7E-7F6554ADC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521679"/>
        <c:axId val="1606522159"/>
        <c:extLst/>
      </c:scatterChart>
      <c:valAx>
        <c:axId val="1606521679"/>
        <c:scaling>
          <c:orientation val="minMax"/>
          <c:max val="4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x-position</a:t>
                </a:r>
                <a:r>
                  <a:rPr lang="en-CA" baseline="0"/>
                  <a:t> [cm]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522159"/>
        <c:crosses val="autoZero"/>
        <c:crossBetween val="midCat"/>
      </c:valAx>
      <c:valAx>
        <c:axId val="1606522159"/>
        <c:scaling>
          <c:orientation val="minMax"/>
          <c:max val="2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y-position [cm]</a:t>
                </a:r>
              </a:p>
            </c:rich>
          </c:tx>
          <c:layout>
            <c:manualLayout>
              <c:xMode val="edge"/>
              <c:yMode val="edge"/>
              <c:x val="1.177576870005978E-2"/>
              <c:y val="0.37254086662978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5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90</a:t>
            </a:r>
            <a:r>
              <a:rPr lang="en-CA" baseline="0"/>
              <a:t> Degree Foot Position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Upper Bound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Sheet1!$C$40:$C$42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10</c:v>
                </c:pt>
              </c:numCache>
            </c:numRef>
          </c:xVal>
          <c:yVal>
            <c:numRef>
              <c:f>Sheet1!$D$40:$D$42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97-4412-941F-40DB331427BF}"/>
            </c:ext>
          </c:extLst>
        </c:ser>
        <c:ser>
          <c:idx val="1"/>
          <c:order val="1"/>
          <c:tx>
            <c:v>Lower Bound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Sheet1!$C$43:$C$45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10</c:v>
                </c:pt>
              </c:numCache>
            </c:numRef>
          </c:xVal>
          <c:yVal>
            <c:numRef>
              <c:f>Sheet1!$D$43:$D$45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97-4412-941F-40DB33142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527919"/>
        <c:axId val="1606526479"/>
      </c:scatterChart>
      <c:scatterChart>
        <c:scatterStyle val="lineMarker"/>
        <c:varyColors val="0"/>
        <c:ser>
          <c:idx val="2"/>
          <c:order val="2"/>
          <c:tx>
            <c:v>Axis of Rotation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Sheet1!$D$28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Sheet1!$E$28</c:f>
              <c:numCache>
                <c:formatCode>General</c:formatCode>
                <c:ptCount val="1"/>
                <c:pt idx="0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7-4412-941F-40DB331427BF}"/>
            </c:ext>
          </c:extLst>
        </c:ser>
        <c:ser>
          <c:idx val="3"/>
          <c:order val="3"/>
          <c:tx>
            <c:v>4 yrs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Sheet1!$C$22</c:f>
              <c:numCache>
                <c:formatCode>General</c:formatCode>
                <c:ptCount val="1"/>
                <c:pt idx="0">
                  <c:v>5.75</c:v>
                </c:pt>
              </c:numCache>
            </c:numRef>
          </c:xVal>
          <c:yVal>
            <c:numRef>
              <c:f>Sheet1!$D$22</c:f>
              <c:numCache>
                <c:formatCode>General</c:formatCode>
                <c:ptCount val="1"/>
                <c:pt idx="0">
                  <c:v>3.77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97-4412-941F-40DB331427BF}"/>
            </c:ext>
          </c:extLst>
        </c:ser>
        <c:ser>
          <c:idx val="4"/>
          <c:order val="4"/>
          <c:tx>
            <c:v>Foot Plate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Sheet1!$C$52:$C$53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Sheet1!$D$52:$D$53</c:f>
              <c:numCache>
                <c:formatCode>General</c:formatCode>
                <c:ptCount val="2"/>
                <c:pt idx="0">
                  <c:v>32.5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7-4412-941F-40DB331427BF}"/>
            </c:ext>
          </c:extLst>
        </c:ser>
        <c:ser>
          <c:idx val="5"/>
          <c:order val="5"/>
          <c:tx>
            <c:v>Adult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Sheet1!$C$21</c:f>
              <c:numCache>
                <c:formatCode>General</c:formatCode>
                <c:ptCount val="1"/>
                <c:pt idx="0">
                  <c:v>9.5</c:v>
                </c:pt>
              </c:numCache>
            </c:numRef>
          </c:xVal>
          <c:yVal>
            <c:numRef>
              <c:f>Sheet1!$D$21</c:f>
              <c:numCache>
                <c:formatCode>General</c:formatCode>
                <c:ptCount val="1"/>
                <c:pt idx="0">
                  <c:v>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F6-4EA2-8267-E5D0DE9D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527919"/>
        <c:axId val="1606526479"/>
      </c:scatterChart>
      <c:valAx>
        <c:axId val="1606527919"/>
        <c:scaling>
          <c:orientation val="minMax"/>
          <c:max val="3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x-position</a:t>
                </a:r>
                <a:r>
                  <a:rPr lang="en-CA" baseline="0"/>
                  <a:t> [cm]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46786236777272078"/>
              <c:y val="0.95041803438503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526479"/>
        <c:crosses val="autoZero"/>
        <c:crossBetween val="midCat"/>
      </c:valAx>
      <c:valAx>
        <c:axId val="1606526479"/>
        <c:scaling>
          <c:orientation val="minMax"/>
          <c:max val="3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y-position</a:t>
                </a:r>
                <a:r>
                  <a:rPr lang="en-CA" baseline="0"/>
                  <a:t> [cm]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1.3382031060987259E-2"/>
              <c:y val="0.40042835383507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52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Keeping</a:t>
            </a:r>
            <a:r>
              <a:rPr lang="en-CA" baseline="0"/>
              <a:t> Plate Bottom on Ground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Points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0037620297462822E-2"/>
                  <c:y val="-3.98038786818314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'Angled cart'!$G$3:$G$11</c:f>
              <c:numCache>
                <c:formatCode>General</c:formatCode>
                <c:ptCount val="9"/>
                <c:pt idx="0">
                  <c:v>39.130945942529536</c:v>
                </c:pt>
                <c:pt idx="1">
                  <c:v>57.283453807349275</c:v>
                </c:pt>
                <c:pt idx="2">
                  <c:v>75</c:v>
                </c:pt>
                <c:pt idx="3">
                  <c:v>92.145750906412545</c:v>
                </c:pt>
                <c:pt idx="4">
                  <c:v>108.59021700930167</c:v>
                </c:pt>
                <c:pt idx="5">
                  <c:v>124.20824599218427</c:v>
                </c:pt>
                <c:pt idx="6">
                  <c:v>138.88097522407688</c:v>
                </c:pt>
                <c:pt idx="7">
                  <c:v>152.49673637588864</c:v>
                </c:pt>
                <c:pt idx="8">
                  <c:v>164.9519052838329</c:v>
                </c:pt>
              </c:numCache>
            </c:numRef>
          </c:xVal>
          <c:yVal>
            <c:numRef>
              <c:f>'Angled cart'!$H$3:$H$11</c:f>
              <c:numCache>
                <c:formatCode>General</c:formatCode>
                <c:ptCount val="9"/>
                <c:pt idx="0">
                  <c:v>36.21677432559062</c:v>
                </c:pt>
                <c:pt idx="1">
                  <c:v>43.273054198512909</c:v>
                </c:pt>
                <c:pt idx="2">
                  <c:v>49.999999999999993</c:v>
                </c:pt>
                <c:pt idx="3">
                  <c:v>56.346415610661637</c:v>
                </c:pt>
                <c:pt idx="4">
                  <c:v>62.264000975630175</c:v>
                </c:pt>
                <c:pt idx="5">
                  <c:v>67.707719697142466</c:v>
                </c:pt>
                <c:pt idx="6">
                  <c:v>72.636141788720565</c:v>
                </c:pt>
                <c:pt idx="7">
                  <c:v>77.011758982384947</c:v>
                </c:pt>
                <c:pt idx="8">
                  <c:v>80.801270189221924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9-4ADA-BFEA-4387EDE5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535743"/>
        <c:axId val="1271559711"/>
      </c:scatterChart>
      <c:valAx>
        <c:axId val="80853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x 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59711"/>
        <c:crosses val="autoZero"/>
        <c:crossBetween val="midCat"/>
      </c:valAx>
      <c:valAx>
        <c:axId val="12715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  <a:r>
                  <a:rPr lang="en-CA" baseline="0"/>
                  <a:t> Position [mm]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3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561974</xdr:colOff>
      <xdr:row>21</xdr:row>
      <xdr:rowOff>171449</xdr:rowOff>
    </xdr:from>
    <xdr:to>
      <xdr:col>18</xdr:col>
      <xdr:colOff>566455</xdr:colOff>
      <xdr:row>38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C90D67-4626-794E-1393-479E3A5BA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590550</xdr:colOff>
      <xdr:row>3</xdr:row>
      <xdr:rowOff>149597</xdr:rowOff>
    </xdr:from>
    <xdr:to>
      <xdr:col>26</xdr:col>
      <xdr:colOff>329451</xdr:colOff>
      <xdr:row>23</xdr:row>
      <xdr:rowOff>47624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915A99-CA3A-BC08-AFE0-459DD2FF1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114300</xdr:colOff>
      <xdr:row>3</xdr:row>
      <xdr:rowOff>66675</xdr:rowOff>
    </xdr:from>
    <xdr:to>
      <xdr:col>17</xdr:col>
      <xdr:colOff>485775</xdr:colOff>
      <xdr:row>23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489FBAA-1E69-BAFC-C078-4A4CE9D81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2</xdr:row>
      <xdr:rowOff>71437</xdr:rowOff>
    </xdr:from>
    <xdr:to>
      <xdr:col>16</xdr:col>
      <xdr:colOff>495300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29C99-4DEE-2CEB-D769-3AB0C7CAC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5D16-0B0A-4607-A57D-1EFBAE6E4E53}">
  <dimension ref="B2:J53"/>
  <sheetViews>
    <sheetView tabSelected="1" zoomScaleNormal="100" workbookViewId="0">
      <selection activeCell="J23" sqref="J23"/>
    </sheetView>
  </sheetViews>
  <sheetFormatPr defaultRowHeight="15" x14ac:dyDescent="0.25"/>
  <cols>
    <col min="2" max="2" width="11.140625" customWidth="1"/>
    <col min="3" max="3" width="14.7109375" customWidth="1"/>
    <col min="4" max="4" width="13.28515625" customWidth="1"/>
    <col min="5" max="5" width="12.5703125" customWidth="1"/>
    <col min="9" max="9" width="15.7109375" customWidth="1"/>
  </cols>
  <sheetData>
    <row r="2" spans="2:10" x14ac:dyDescent="0.25">
      <c r="B2" t="s">
        <v>28</v>
      </c>
      <c r="C2" t="s">
        <v>29</v>
      </c>
      <c r="D2" t="s">
        <v>30</v>
      </c>
      <c r="E2" t="s">
        <v>31</v>
      </c>
      <c r="F2" t="s">
        <v>38</v>
      </c>
      <c r="G2" t="s">
        <v>39</v>
      </c>
      <c r="J2">
        <v>0.375</v>
      </c>
    </row>
    <row r="3" spans="2:10" x14ac:dyDescent="0.25">
      <c r="B3" s="5">
        <v>1.5</v>
      </c>
      <c r="C3" s="5">
        <v>10</v>
      </c>
      <c r="D3" s="5">
        <v>30</v>
      </c>
      <c r="E3" s="5">
        <v>-10</v>
      </c>
      <c r="F3" s="5">
        <v>0.5</v>
      </c>
      <c r="G3" s="5">
        <f>F3*25.4</f>
        <v>12.7</v>
      </c>
    </row>
    <row r="5" spans="2:10" x14ac:dyDescent="0.25">
      <c r="B5" t="s">
        <v>3</v>
      </c>
      <c r="C5" t="s">
        <v>40</v>
      </c>
      <c r="D5" t="s">
        <v>4</v>
      </c>
      <c r="E5" t="s">
        <v>7</v>
      </c>
      <c r="F5" t="s">
        <v>24</v>
      </c>
      <c r="G5" t="s">
        <v>41</v>
      </c>
      <c r="H5" t="s">
        <v>42</v>
      </c>
    </row>
    <row r="6" spans="2:10" x14ac:dyDescent="0.25">
      <c r="B6" s="5">
        <v>28</v>
      </c>
      <c r="C6" s="5">
        <v>4.5</v>
      </c>
      <c r="D6" s="5">
        <v>4</v>
      </c>
      <c r="E6" s="5">
        <v>5</v>
      </c>
      <c r="F6">
        <f>SQRT(B6^2+E6^2)</f>
        <v>28.442925306655784</v>
      </c>
      <c r="G6">
        <f>ATAN(E6/B6)</f>
        <v>0.17670885607003661</v>
      </c>
      <c r="H6">
        <f>G6*180/PI()</f>
        <v>10.124671655397817</v>
      </c>
    </row>
    <row r="8" spans="2:10" x14ac:dyDescent="0.25">
      <c r="B8" s="9" t="s">
        <v>35</v>
      </c>
      <c r="C8" s="9"/>
      <c r="D8" s="9"/>
      <c r="E8" s="9"/>
      <c r="F8" s="9"/>
      <c r="G8" s="9"/>
      <c r="H8" s="9"/>
      <c r="I8" s="9"/>
    </row>
    <row r="9" spans="2:10" x14ac:dyDescent="0.25">
      <c r="C9" s="3"/>
      <c r="D9" s="7" t="s">
        <v>2</v>
      </c>
      <c r="E9" s="7"/>
      <c r="F9" s="7"/>
      <c r="G9" s="7" t="s">
        <v>14</v>
      </c>
      <c r="H9" s="7"/>
      <c r="I9" s="7"/>
    </row>
    <row r="10" spans="2:10" x14ac:dyDescent="0.25">
      <c r="B10" s="1" t="s">
        <v>15</v>
      </c>
      <c r="C10" s="2" t="s">
        <v>16</v>
      </c>
      <c r="D10" s="1" t="s">
        <v>12</v>
      </c>
      <c r="E10" s="1" t="s">
        <v>13</v>
      </c>
      <c r="F10" s="1" t="s">
        <v>0</v>
      </c>
      <c r="G10" s="1" t="s">
        <v>12</v>
      </c>
      <c r="H10" s="1" t="s">
        <v>13</v>
      </c>
      <c r="I10" s="1" t="s">
        <v>0</v>
      </c>
    </row>
    <row r="11" spans="2:10" x14ac:dyDescent="0.25">
      <c r="B11" s="6" t="s">
        <v>1</v>
      </c>
      <c r="C11" s="4">
        <v>0</v>
      </c>
      <c r="D11">
        <v>4.5</v>
      </c>
      <c r="E11">
        <v>6</v>
      </c>
      <c r="F11">
        <f t="shared" ref="F11:F16" si="0">AVERAGE(D11:E11)</f>
        <v>5.25</v>
      </c>
      <c r="G11">
        <v>9</v>
      </c>
      <c r="H11">
        <v>10</v>
      </c>
      <c r="I11">
        <f t="shared" ref="I11:I16" si="1">AVERAGE(G11:H11)</f>
        <v>9.5</v>
      </c>
    </row>
    <row r="12" spans="2:10" x14ac:dyDescent="0.25">
      <c r="B12" s="6"/>
      <c r="C12" s="4">
        <f>D3</f>
        <v>30</v>
      </c>
      <c r="D12">
        <v>6</v>
      </c>
      <c r="E12">
        <v>7</v>
      </c>
      <c r="F12">
        <f t="shared" si="0"/>
        <v>6.5</v>
      </c>
      <c r="G12">
        <v>9</v>
      </c>
      <c r="H12">
        <v>9</v>
      </c>
      <c r="I12">
        <f t="shared" si="1"/>
        <v>9</v>
      </c>
    </row>
    <row r="13" spans="2:10" x14ac:dyDescent="0.25">
      <c r="B13" s="6"/>
      <c r="C13" s="4">
        <f>E3</f>
        <v>-10</v>
      </c>
      <c r="D13">
        <v>5</v>
      </c>
      <c r="E13">
        <v>2.5</v>
      </c>
      <c r="F13">
        <f t="shared" si="0"/>
        <v>3.75</v>
      </c>
      <c r="G13">
        <v>9.5</v>
      </c>
      <c r="H13">
        <v>9.5</v>
      </c>
      <c r="I13">
        <f t="shared" si="1"/>
        <v>9.5</v>
      </c>
    </row>
    <row r="14" spans="2:10" x14ac:dyDescent="0.25">
      <c r="B14" s="6" t="s">
        <v>17</v>
      </c>
      <c r="C14" s="4">
        <v>0</v>
      </c>
      <c r="D14">
        <v>2</v>
      </c>
      <c r="E14">
        <v>3</v>
      </c>
      <c r="F14">
        <f t="shared" si="0"/>
        <v>2.5</v>
      </c>
      <c r="G14">
        <v>5.5</v>
      </c>
      <c r="H14">
        <v>6</v>
      </c>
      <c r="I14">
        <f t="shared" si="1"/>
        <v>5.75</v>
      </c>
    </row>
    <row r="15" spans="2:10" x14ac:dyDescent="0.25">
      <c r="B15" s="6"/>
      <c r="C15" s="4">
        <f>D3</f>
        <v>30</v>
      </c>
      <c r="D15">
        <v>2.5</v>
      </c>
      <c r="E15">
        <v>3.5</v>
      </c>
      <c r="F15">
        <f t="shared" si="0"/>
        <v>3</v>
      </c>
      <c r="G15">
        <v>5.5</v>
      </c>
      <c r="H15">
        <v>6</v>
      </c>
      <c r="I15">
        <f t="shared" si="1"/>
        <v>5.75</v>
      </c>
    </row>
    <row r="16" spans="2:10" x14ac:dyDescent="0.25">
      <c r="B16" s="6"/>
      <c r="C16" s="4">
        <f>E3</f>
        <v>-10</v>
      </c>
      <c r="D16">
        <v>2.5</v>
      </c>
      <c r="E16">
        <v>3</v>
      </c>
      <c r="F16">
        <f t="shared" si="0"/>
        <v>2.75</v>
      </c>
      <c r="G16">
        <v>5</v>
      </c>
      <c r="H16">
        <v>5.5</v>
      </c>
      <c r="I16">
        <f t="shared" si="1"/>
        <v>5.25</v>
      </c>
    </row>
    <row r="18" spans="2:9" x14ac:dyDescent="0.25">
      <c r="B18" s="9" t="s">
        <v>37</v>
      </c>
      <c r="C18" s="9"/>
      <c r="D18" s="9"/>
      <c r="E18" s="9"/>
      <c r="F18" s="9"/>
      <c r="G18" s="9"/>
      <c r="H18" s="9"/>
    </row>
    <row r="19" spans="2:9" x14ac:dyDescent="0.25">
      <c r="C19" s="8">
        <v>0</v>
      </c>
      <c r="D19" s="8"/>
      <c r="E19" s="8">
        <f>D3</f>
        <v>30</v>
      </c>
      <c r="F19" s="8"/>
      <c r="G19" s="8">
        <f>E3</f>
        <v>-10</v>
      </c>
      <c r="H19" s="8"/>
    </row>
    <row r="20" spans="2:9" x14ac:dyDescent="0.25">
      <c r="C20" t="s">
        <v>10</v>
      </c>
      <c r="D20" t="s">
        <v>11</v>
      </c>
      <c r="E20" t="s">
        <v>10</v>
      </c>
      <c r="F20" t="s">
        <v>11</v>
      </c>
      <c r="G20" t="s">
        <v>10</v>
      </c>
      <c r="H20" t="s">
        <v>11</v>
      </c>
    </row>
    <row r="21" spans="2:9" x14ac:dyDescent="0.25">
      <c r="B21" t="s">
        <v>1</v>
      </c>
      <c r="C21">
        <f>C53+I11*COS(C11*PI()/180)+I11*SIN(C11*PI()/180)*TAN(C11*PI()/180)-F11*TAN(C11*PI()/180)</f>
        <v>9.5</v>
      </c>
      <c r="D21">
        <f>F11</f>
        <v>5.25</v>
      </c>
      <c r="E21">
        <f>E53+I12*COS(C12*PI()/180)+I12*SIN(C12*PI()/180)*TAN(C12*PI()/180)-F12*TAN(C12*PI()/180)</f>
        <v>21.794228634059948</v>
      </c>
      <c r="F21">
        <f>F12</f>
        <v>6.5</v>
      </c>
      <c r="G21">
        <f>G53+I13*COS(C13*PI()/180)+I13*SIN(C13*PI()/180)*TAN(C13*PI()/180)-F13*TAN(C13*PI()/180)</f>
        <v>4.4990643083414952</v>
      </c>
      <c r="H21">
        <f>F13</f>
        <v>3.75</v>
      </c>
    </row>
    <row r="22" spans="2:9" x14ac:dyDescent="0.25">
      <c r="B22" t="s">
        <v>17</v>
      </c>
      <c r="C22">
        <f>C53+I14*COS(C14*PI()/180)+I14*SIN(C14*PI()/180)*TAN(C14*PI()/180)-D22*TAN(C14*PI()/180)</f>
        <v>5.75</v>
      </c>
      <c r="D22">
        <f>F14+G3/10</f>
        <v>3.77</v>
      </c>
      <c r="E22">
        <f>E53+I15*COS(C15*PI()/180)+I15*SIN(C15*PI()/180)*TAN(C15*PI()/180)-F22*TAN(C15*PI()/180)</f>
        <v>19.328942984620241</v>
      </c>
      <c r="F22">
        <f>F15+G3/10</f>
        <v>4.2699999999999996</v>
      </c>
      <c r="G22">
        <f>G53+I16*COS(C16*PI()/180)+I16*SIN(C16*PI()/180)*TAN(C16*PI()/180)-H22*TAN(C16*PI()/180)</f>
        <v>0.23110949261836344</v>
      </c>
      <c r="H22">
        <f>F16+G3/10</f>
        <v>4.0199999999999996</v>
      </c>
    </row>
    <row r="24" spans="2:9" x14ac:dyDescent="0.25">
      <c r="B24" s="9" t="s">
        <v>33</v>
      </c>
      <c r="C24" s="9"/>
      <c r="D24" s="9"/>
      <c r="E24" s="9"/>
    </row>
    <row r="25" spans="2:9" x14ac:dyDescent="0.25">
      <c r="D25" s="8" t="s">
        <v>21</v>
      </c>
      <c r="E25" s="8"/>
    </row>
    <row r="26" spans="2:9" x14ac:dyDescent="0.25">
      <c r="D26" t="s">
        <v>10</v>
      </c>
      <c r="E26" t="s">
        <v>11</v>
      </c>
    </row>
    <row r="27" spans="2:9" x14ac:dyDescent="0.25">
      <c r="B27" s="6">
        <v>0</v>
      </c>
      <c r="C27" t="s">
        <v>18</v>
      </c>
      <c r="D27">
        <f>D28</f>
        <v>5</v>
      </c>
      <c r="E27">
        <f>E28+B3</f>
        <v>6</v>
      </c>
    </row>
    <row r="28" spans="2:9" x14ac:dyDescent="0.25">
      <c r="B28" s="6"/>
      <c r="C28" t="s">
        <v>19</v>
      </c>
      <c r="D28">
        <f>E6</f>
        <v>5</v>
      </c>
      <c r="E28">
        <f>C6</f>
        <v>4.5</v>
      </c>
    </row>
    <row r="29" spans="2:9" x14ac:dyDescent="0.25">
      <c r="B29" s="6"/>
      <c r="C29" t="s">
        <v>20</v>
      </c>
      <c r="D29">
        <f>D28</f>
        <v>5</v>
      </c>
      <c r="E29">
        <f>E28-B3</f>
        <v>3</v>
      </c>
      <c r="I29">
        <f>D21-D22-B3*2</f>
        <v>-1.52</v>
      </c>
    </row>
    <row r="30" spans="2:9" x14ac:dyDescent="0.25">
      <c r="B30" s="6">
        <f>D3</f>
        <v>30</v>
      </c>
      <c r="C30" t="s">
        <v>18</v>
      </c>
      <c r="D30">
        <f>D31-B3*SIN(B30*PI()/180)</f>
        <v>17.580127018922195</v>
      </c>
      <c r="E30">
        <f>E31+B3*COS(B30*PI()/180)</f>
        <v>5.799038105676658</v>
      </c>
    </row>
    <row r="31" spans="2:9" x14ac:dyDescent="0.25">
      <c r="B31" s="6"/>
      <c r="C31" t="s">
        <v>19</v>
      </c>
      <c r="D31">
        <f>F6*SIN(G6+B30*PI()/180)</f>
        <v>18.330127018922195</v>
      </c>
      <c r="E31">
        <f>E28</f>
        <v>4.5</v>
      </c>
    </row>
    <row r="32" spans="2:9" x14ac:dyDescent="0.25">
      <c r="B32" s="6"/>
      <c r="C32" t="s">
        <v>20</v>
      </c>
      <c r="D32">
        <f>D31+B3*SIN(B30*PI()/180)</f>
        <v>19.080127018922195</v>
      </c>
      <c r="E32">
        <f>E31-B3*COS(B30*PI()/180)</f>
        <v>3.200961894323342</v>
      </c>
    </row>
    <row r="33" spans="2:8" x14ac:dyDescent="0.25">
      <c r="B33" s="6">
        <f>E3</f>
        <v>-10</v>
      </c>
      <c r="C33" t="s">
        <v>18</v>
      </c>
      <c r="D33">
        <f>D34-B3*SIN(B33*PI()/180)</f>
        <v>0.32236205688738628</v>
      </c>
      <c r="E33">
        <f>E34+B3*COS(B33*PI()/180)</f>
        <v>5.9772116295183118</v>
      </c>
    </row>
    <row r="34" spans="2:8" x14ac:dyDescent="0.25">
      <c r="B34" s="6"/>
      <c r="C34" t="s">
        <v>19</v>
      </c>
      <c r="D34">
        <f>F6*SIN(G6+B33*PI()/180)</f>
        <v>6.1889790386990759E-2</v>
      </c>
      <c r="E34">
        <f>E28</f>
        <v>4.5</v>
      </c>
    </row>
    <row r="35" spans="2:8" x14ac:dyDescent="0.25">
      <c r="B35" s="6"/>
      <c r="C35" t="s">
        <v>20</v>
      </c>
      <c r="D35">
        <f>D34+B3*SIN(B33*PI()/180)</f>
        <v>-0.19858247611340474</v>
      </c>
      <c r="E35">
        <f>E34-B3*COS(B33*PI()/180)</f>
        <v>3.0227883704816882</v>
      </c>
    </row>
    <row r="37" spans="2:8" x14ac:dyDescent="0.25">
      <c r="B37" s="9" t="s">
        <v>32</v>
      </c>
      <c r="C37" s="9"/>
      <c r="D37" s="9"/>
      <c r="E37" s="9"/>
      <c r="F37" s="9"/>
      <c r="G37" s="9"/>
      <c r="H37" s="9"/>
    </row>
    <row r="38" spans="2:8" x14ac:dyDescent="0.25">
      <c r="C38" s="8">
        <v>0</v>
      </c>
      <c r="D38" s="8"/>
      <c r="E38" s="8">
        <f>D3</f>
        <v>30</v>
      </c>
      <c r="F38" s="8"/>
      <c r="G38" s="8">
        <f>E3</f>
        <v>-10</v>
      </c>
      <c r="H38" s="8"/>
    </row>
    <row r="39" spans="2:8" x14ac:dyDescent="0.25">
      <c r="C39" t="s">
        <v>10</v>
      </c>
      <c r="D39" t="s">
        <v>11</v>
      </c>
      <c r="E39" t="s">
        <v>10</v>
      </c>
      <c r="F39" t="s">
        <v>11</v>
      </c>
      <c r="G39" t="s">
        <v>10</v>
      </c>
      <c r="H39" t="s">
        <v>11</v>
      </c>
    </row>
    <row r="40" spans="2:8" x14ac:dyDescent="0.25">
      <c r="B40" s="6" t="s">
        <v>22</v>
      </c>
      <c r="C40">
        <v>0</v>
      </c>
      <c r="D40">
        <f>D41</f>
        <v>6</v>
      </c>
      <c r="E40">
        <f>E41-C3</f>
        <v>7.5801270189221945</v>
      </c>
      <c r="F40">
        <f>F41-$C$3*TAN(E38*PI()/180)</f>
        <v>2.5535413780400695E-2</v>
      </c>
      <c r="G40">
        <f>G41-C3</f>
        <v>-9.6776379431126145</v>
      </c>
      <c r="H40">
        <f>H41-$C$3*TAN(G38*PI()/180)</f>
        <v>7.7404814366029617</v>
      </c>
    </row>
    <row r="41" spans="2:8" x14ac:dyDescent="0.25">
      <c r="B41" s="6"/>
      <c r="C41">
        <f>D27</f>
        <v>5</v>
      </c>
      <c r="D41">
        <f>E27</f>
        <v>6</v>
      </c>
      <c r="E41">
        <f>D30</f>
        <v>17.580127018922195</v>
      </c>
      <c r="F41">
        <f>E30</f>
        <v>5.799038105676658</v>
      </c>
      <c r="G41">
        <f>D33</f>
        <v>0.32236205688738628</v>
      </c>
      <c r="H41">
        <f>E33</f>
        <v>5.9772116295183118</v>
      </c>
    </row>
    <row r="42" spans="2:8" x14ac:dyDescent="0.25">
      <c r="B42" s="6"/>
      <c r="C42">
        <v>10</v>
      </c>
      <c r="D42">
        <f>D41</f>
        <v>6</v>
      </c>
      <c r="E42">
        <f>E41+C3</f>
        <v>27.580127018922195</v>
      </c>
      <c r="F42">
        <f>F41+$C$3*TAN(E38*PI()/180)</f>
        <v>11.572540797572916</v>
      </c>
      <c r="G42">
        <f>G41+C3</f>
        <v>10.322362056887386</v>
      </c>
      <c r="H42">
        <f>H41+$C$3*TAN(G38*PI()/180)</f>
        <v>4.2139418224336618</v>
      </c>
    </row>
    <row r="43" spans="2:8" x14ac:dyDescent="0.25">
      <c r="B43" s="6" t="s">
        <v>23</v>
      </c>
      <c r="C43">
        <v>0</v>
      </c>
      <c r="D43">
        <f>D44</f>
        <v>3</v>
      </c>
      <c r="E43">
        <f>E44-C3</f>
        <v>9.0801270189221945</v>
      </c>
      <c r="F43">
        <f>F44-$C$3*TAN(E38*PI()/180)</f>
        <v>-2.5725407975729153</v>
      </c>
      <c r="G43">
        <f>G44-C3</f>
        <v>-10.198582476113405</v>
      </c>
      <c r="H43">
        <f>H44-$C$3*TAN(G38*PI()/180)</f>
        <v>4.7860581775663382</v>
      </c>
    </row>
    <row r="44" spans="2:8" x14ac:dyDescent="0.25">
      <c r="B44" s="6"/>
      <c r="C44">
        <f>D29</f>
        <v>5</v>
      </c>
      <c r="D44">
        <f>E29</f>
        <v>3</v>
      </c>
      <c r="E44">
        <f>D32</f>
        <v>19.080127018922195</v>
      </c>
      <c r="F44">
        <f>E32</f>
        <v>3.200961894323342</v>
      </c>
      <c r="G44">
        <f>D35</f>
        <v>-0.19858247611340474</v>
      </c>
      <c r="H44">
        <f>E35</f>
        <v>3.0227883704816882</v>
      </c>
    </row>
    <row r="45" spans="2:8" x14ac:dyDescent="0.25">
      <c r="B45" s="6"/>
      <c r="C45">
        <v>10</v>
      </c>
      <c r="D45">
        <f>D44</f>
        <v>3</v>
      </c>
      <c r="E45">
        <f>E44+C3</f>
        <v>29.080127018922195</v>
      </c>
      <c r="F45">
        <f>F44+$C$3*TAN(E38*PI()/180)</f>
        <v>8.9744645862196002</v>
      </c>
      <c r="G45">
        <f>G44+C3</f>
        <v>9.8014175238865953</v>
      </c>
      <c r="H45">
        <f>H44+$C$3*TAN(G38*PI()/180)</f>
        <v>1.2595185633970385</v>
      </c>
    </row>
    <row r="47" spans="2:8" x14ac:dyDescent="0.25">
      <c r="B47" s="9" t="s">
        <v>34</v>
      </c>
      <c r="C47" s="9"/>
      <c r="D47" s="9"/>
      <c r="E47" s="9"/>
      <c r="F47" s="9"/>
      <c r="G47" s="9"/>
      <c r="H47" s="9"/>
    </row>
    <row r="48" spans="2:8" x14ac:dyDescent="0.25">
      <c r="C48" s="8">
        <v>0</v>
      </c>
      <c r="D48" s="8"/>
      <c r="E48" s="8">
        <f>D3</f>
        <v>30</v>
      </c>
      <c r="F48" s="8"/>
      <c r="G48" s="8">
        <f>E3</f>
        <v>-10</v>
      </c>
      <c r="H48" s="8"/>
    </row>
    <row r="49" spans="2:8" x14ac:dyDescent="0.25">
      <c r="C49" t="s">
        <v>10</v>
      </c>
      <c r="D49" t="s">
        <v>11</v>
      </c>
      <c r="E49" t="s">
        <v>10</v>
      </c>
      <c r="F49" t="s">
        <v>11</v>
      </c>
      <c r="G49" t="s">
        <v>10</v>
      </c>
      <c r="H49" t="s">
        <v>11</v>
      </c>
    </row>
    <row r="50" spans="2:8" x14ac:dyDescent="0.25">
      <c r="B50" t="s">
        <v>25</v>
      </c>
      <c r="C50">
        <f>(B6+D6)*SIN(C48*PI()/180)</f>
        <v>0</v>
      </c>
      <c r="D50">
        <f>D52-(B6+D6)*COS(C48*PI()/180)</f>
        <v>0.5</v>
      </c>
      <c r="E50">
        <f>(B6+D6)*SIN(E48*PI()/180)</f>
        <v>15.999999999999998</v>
      </c>
      <c r="F50">
        <f>D52-(B6+D6)*COS(E48*PI()/180)</f>
        <v>4.7871870788979614</v>
      </c>
      <c r="G50">
        <f>(B6+D6)*SIN(G48*PI()/180)</f>
        <v>-5.5567416853417706</v>
      </c>
      <c r="H50">
        <f>D52-(B6+D6)*COS(G48*PI()/180)</f>
        <v>0.98615190360934335</v>
      </c>
    </row>
    <row r="51" spans="2:8" x14ac:dyDescent="0.25">
      <c r="B51" t="s">
        <v>26</v>
      </c>
      <c r="C51">
        <f>$F$6*SIN(C48*PI()/180+$G$6)</f>
        <v>5</v>
      </c>
      <c r="D51">
        <f>C6</f>
        <v>4.5</v>
      </c>
      <c r="E51">
        <f>$F$6*SIN(E48*PI()/180+$G$6)</f>
        <v>18.330127018922195</v>
      </c>
      <c r="F51">
        <f>C6</f>
        <v>4.5</v>
      </c>
      <c r="G51">
        <f>$F$6*SIN(G48*PI()/180+$G$6)</f>
        <v>6.1889790386990759E-2</v>
      </c>
      <c r="H51">
        <f>C6</f>
        <v>4.5</v>
      </c>
    </row>
    <row r="52" spans="2:8" x14ac:dyDescent="0.25">
      <c r="B52" t="s">
        <v>27</v>
      </c>
      <c r="C52">
        <v>0</v>
      </c>
      <c r="D52">
        <f>$C$6+$F$6*COS(G6+C48*PI()/180)</f>
        <v>32.5</v>
      </c>
      <c r="E52">
        <v>0</v>
      </c>
      <c r="F52">
        <f>$C$6+$F$6*COS(G6+E48*PI()/180)</f>
        <v>26.248711305964282</v>
      </c>
      <c r="G52">
        <v>0</v>
      </c>
      <c r="H52">
        <f>$C$6+$F$6*COS(G6+G48*PI()/180)</f>
        <v>32.942857972676478</v>
      </c>
    </row>
    <row r="53" spans="2:8" x14ac:dyDescent="0.25">
      <c r="B53" t="s">
        <v>36</v>
      </c>
      <c r="C53">
        <f>D52*TAN(C48*PI()/180)</f>
        <v>0</v>
      </c>
      <c r="D53">
        <v>0</v>
      </c>
      <c r="E53">
        <f>F52*TAN(E48*PI()/180)</f>
        <v>15.154700538379251</v>
      </c>
      <c r="F53">
        <v>0</v>
      </c>
      <c r="G53">
        <f>H52*TAN(G48*PI()/180)</f>
        <v>-5.8087146822298266</v>
      </c>
      <c r="H53">
        <v>0</v>
      </c>
    </row>
  </sheetData>
  <mergeCells count="24">
    <mergeCell ref="B8:I8"/>
    <mergeCell ref="C19:D19"/>
    <mergeCell ref="E19:F19"/>
    <mergeCell ref="G19:H19"/>
    <mergeCell ref="B18:H18"/>
    <mergeCell ref="B43:B45"/>
    <mergeCell ref="C48:D48"/>
    <mergeCell ref="E48:F48"/>
    <mergeCell ref="G48:H48"/>
    <mergeCell ref="B37:H37"/>
    <mergeCell ref="B47:H47"/>
    <mergeCell ref="C38:D38"/>
    <mergeCell ref="E38:F38"/>
    <mergeCell ref="G38:H38"/>
    <mergeCell ref="B40:B42"/>
    <mergeCell ref="B27:B29"/>
    <mergeCell ref="B30:B32"/>
    <mergeCell ref="B33:B35"/>
    <mergeCell ref="D9:F9"/>
    <mergeCell ref="G9:I9"/>
    <mergeCell ref="B11:B13"/>
    <mergeCell ref="B14:B16"/>
    <mergeCell ref="D25:E25"/>
    <mergeCell ref="B24:E2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19EA-08BF-497B-9263-AD714391E917}">
  <dimension ref="B2:H11"/>
  <sheetViews>
    <sheetView workbookViewId="0">
      <selection activeCell="E26" sqref="E26"/>
    </sheetView>
  </sheetViews>
  <sheetFormatPr defaultRowHeight="15" x14ac:dyDescent="0.25"/>
  <cols>
    <col min="5" max="5" width="12.42578125" customWidth="1"/>
    <col min="6" max="6" width="12.28515625" customWidth="1"/>
  </cols>
  <sheetData>
    <row r="2" spans="2:8" x14ac:dyDescent="0.25">
      <c r="B2" t="s">
        <v>3</v>
      </c>
      <c r="C2">
        <v>200</v>
      </c>
      <c r="E2" t="s">
        <v>8</v>
      </c>
      <c r="F2" t="s">
        <v>9</v>
      </c>
      <c r="G2" t="s">
        <v>10</v>
      </c>
      <c r="H2" t="s">
        <v>11</v>
      </c>
    </row>
    <row r="3" spans="2:8" x14ac:dyDescent="0.25">
      <c r="B3" t="s">
        <v>4</v>
      </c>
      <c r="C3">
        <v>50</v>
      </c>
      <c r="E3">
        <v>-10</v>
      </c>
      <c r="F3">
        <f>E3*PI()/180</f>
        <v>-0.17453292519943295</v>
      </c>
      <c r="G3">
        <f>($C$2+$C$3)*SIN(F3)+$C$6*COS(F3+$C$5)</f>
        <v>39.130945942529536</v>
      </c>
      <c r="H3">
        <f>$C$6*SIN(F3+$C$5)</f>
        <v>36.21677432559062</v>
      </c>
    </row>
    <row r="4" spans="2:8" x14ac:dyDescent="0.25">
      <c r="B4" t="s">
        <v>7</v>
      </c>
      <c r="C4">
        <v>75</v>
      </c>
      <c r="E4">
        <v>-5</v>
      </c>
      <c r="F4">
        <f t="shared" ref="F4:F11" si="0">E4*PI()/180</f>
        <v>-8.7266462599716474E-2</v>
      </c>
      <c r="G4">
        <f t="shared" ref="G4:G11" si="1">($C$2+$C$3)*SIN(F4)+$C$6*COS(F4+$C$5)</f>
        <v>57.283453807349275</v>
      </c>
      <c r="H4">
        <f t="shared" ref="H4:H11" si="2">$C$6*SIN(F4+$C$5)</f>
        <v>43.273054198512909</v>
      </c>
    </row>
    <row r="5" spans="2:8" x14ac:dyDescent="0.25">
      <c r="B5" t="s">
        <v>5</v>
      </c>
      <c r="C5">
        <f>ATAN(C3/C4)</f>
        <v>0.5880026035475675</v>
      </c>
      <c r="E5">
        <v>0</v>
      </c>
      <c r="F5">
        <f t="shared" si="0"/>
        <v>0</v>
      </c>
      <c r="G5">
        <f t="shared" si="1"/>
        <v>75</v>
      </c>
      <c r="H5">
        <f t="shared" si="2"/>
        <v>49.999999999999993</v>
      </c>
    </row>
    <row r="6" spans="2:8" x14ac:dyDescent="0.25">
      <c r="B6" t="s">
        <v>6</v>
      </c>
      <c r="C6">
        <f>SQRT(C3^2+C4^2)</f>
        <v>90.13878188659973</v>
      </c>
      <c r="E6">
        <v>5</v>
      </c>
      <c r="F6">
        <f t="shared" si="0"/>
        <v>8.7266462599716474E-2</v>
      </c>
      <c r="G6">
        <f t="shared" si="1"/>
        <v>92.145750906412545</v>
      </c>
      <c r="H6">
        <f t="shared" si="2"/>
        <v>56.346415610661637</v>
      </c>
    </row>
    <row r="7" spans="2:8" x14ac:dyDescent="0.25">
      <c r="E7">
        <v>10</v>
      </c>
      <c r="F7">
        <f t="shared" si="0"/>
        <v>0.17453292519943295</v>
      </c>
      <c r="G7">
        <f t="shared" si="1"/>
        <v>108.59021700930167</v>
      </c>
      <c r="H7">
        <f t="shared" si="2"/>
        <v>62.264000975630175</v>
      </c>
    </row>
    <row r="8" spans="2:8" x14ac:dyDescent="0.25">
      <c r="E8">
        <v>15</v>
      </c>
      <c r="F8">
        <f t="shared" si="0"/>
        <v>0.26179938779914941</v>
      </c>
      <c r="G8">
        <f t="shared" si="1"/>
        <v>124.20824599218427</v>
      </c>
      <c r="H8">
        <f t="shared" si="2"/>
        <v>67.707719697142466</v>
      </c>
    </row>
    <row r="9" spans="2:8" x14ac:dyDescent="0.25">
      <c r="E9">
        <v>20</v>
      </c>
      <c r="F9">
        <f t="shared" si="0"/>
        <v>0.3490658503988659</v>
      </c>
      <c r="G9">
        <f t="shared" si="1"/>
        <v>138.88097522407688</v>
      </c>
      <c r="H9">
        <f t="shared" si="2"/>
        <v>72.636141788720565</v>
      </c>
    </row>
    <row r="10" spans="2:8" x14ac:dyDescent="0.25">
      <c r="E10">
        <v>25</v>
      </c>
      <c r="F10">
        <f t="shared" si="0"/>
        <v>0.43633231299858238</v>
      </c>
      <c r="G10">
        <f t="shared" si="1"/>
        <v>152.49673637588864</v>
      </c>
      <c r="H10">
        <f t="shared" si="2"/>
        <v>77.011758982384947</v>
      </c>
    </row>
    <row r="11" spans="2:8" x14ac:dyDescent="0.25">
      <c r="E11">
        <v>30</v>
      </c>
      <c r="F11">
        <f t="shared" si="0"/>
        <v>0.52359877559829882</v>
      </c>
      <c r="G11">
        <f t="shared" si="1"/>
        <v>164.9519052838329</v>
      </c>
      <c r="H11">
        <f t="shared" si="2"/>
        <v>80.801270189221924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Angled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Smart</dc:creator>
  <cp:lastModifiedBy>Kendra Smart</cp:lastModifiedBy>
  <dcterms:created xsi:type="dcterms:W3CDTF">2026-03-11T16:58:01Z</dcterms:created>
  <dcterms:modified xsi:type="dcterms:W3CDTF">2026-04-27T20:21:26Z</dcterms:modified>
</cp:coreProperties>
</file>